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3" i="2"/>
  <c r="D3"/>
  <c r="E3"/>
  <c r="F3"/>
  <c r="G3"/>
  <c r="B3"/>
  <c r="C2"/>
  <c r="D2"/>
  <c r="E2"/>
  <c r="F2"/>
  <c r="G2"/>
  <c r="B2"/>
</calcChain>
</file>

<file path=xl/sharedStrings.xml><?xml version="1.0" encoding="utf-8"?>
<sst xmlns="http://schemas.openxmlformats.org/spreadsheetml/2006/main" count="13" uniqueCount="10">
  <si>
    <t>Никель</t>
  </si>
  <si>
    <t>Медь</t>
  </si>
  <si>
    <t>Константан</t>
  </si>
  <si>
    <t>t,</t>
  </si>
  <si>
    <t xml:space="preserve">R, Ом </t>
  </si>
  <si>
    <t>, К^(-1)</t>
  </si>
  <si>
    <t>R, Ом</t>
  </si>
  <si>
    <t>xNi</t>
  </si>
  <si>
    <t>ρCu-Ni, мкОм*м</t>
  </si>
  <si>
    <r>
      <t>α</t>
    </r>
    <r>
      <rPr>
        <vertAlign val="subscript"/>
        <sz val="16"/>
        <color theme="1"/>
        <rFont val="Calibri"/>
        <family val="2"/>
        <charset val="204"/>
        <scheme val="minor"/>
      </rPr>
      <t>ρCu-Ni * 10^(-3), К^(-1)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</si>
</sst>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vertAlign val="subscript"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1" fontId="1" fillId="0" borderId="4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11" fontId="1" fillId="2" borderId="4" xfId="0" applyNumberFormat="1" applyFont="1" applyFill="1" applyBorder="1" applyAlignment="1">
      <alignment horizontal="right"/>
    </xf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2" fillId="0" borderId="7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Зависимость     </a:t>
            </a:r>
            <a:r>
              <a:rPr lang="ru-RU" baseline="0"/>
              <a:t> =</a:t>
            </a:r>
            <a:r>
              <a:rPr lang="en-US" baseline="0"/>
              <a:t> f(t)</a:t>
            </a:r>
            <a:r>
              <a:rPr lang="ru-RU" baseline="0"/>
              <a:t> для никеля</a:t>
            </a:r>
            <a:r>
              <a:rPr lang="ru-RU"/>
              <a:t> </a:t>
            </a:r>
            <a:r>
              <a:rPr lang="ru-RU" baseline="0"/>
              <a:t> </a:t>
            </a:r>
            <a:endParaRPr lang="ru-RU"/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</c:trendline>
          <c:xVal>
            <c:numRef>
              <c:f>Лист1!$A$4:$A$13</c:f>
              <c:numCache>
                <c:formatCode>General</c:formatCode>
                <c:ptCount val="10"/>
                <c:pt idx="0">
                  <c:v>25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</c:numCache>
            </c:numRef>
          </c:xVal>
          <c:yVal>
            <c:numRef>
              <c:f>Лист1!$C$4:$C$13</c:f>
              <c:numCache>
                <c:formatCode>General</c:formatCode>
                <c:ptCount val="10"/>
                <c:pt idx="0">
                  <c:v>4.7000000000000002E-3</c:v>
                </c:pt>
                <c:pt idx="1">
                  <c:v>4.4000000000000003E-3</c:v>
                </c:pt>
                <c:pt idx="2">
                  <c:v>4.1999999999999997E-3</c:v>
                </c:pt>
                <c:pt idx="3">
                  <c:v>4.3E-3</c:v>
                </c:pt>
                <c:pt idx="4">
                  <c:v>4.0000000000000001E-3</c:v>
                </c:pt>
                <c:pt idx="5">
                  <c:v>3.7000000000000002E-3</c:v>
                </c:pt>
                <c:pt idx="6">
                  <c:v>3.5999999999999999E-3</c:v>
                </c:pt>
                <c:pt idx="7">
                  <c:v>3.3999999999999998E-3</c:v>
                </c:pt>
                <c:pt idx="8">
                  <c:v>3.3999999999999998E-3</c:v>
                </c:pt>
                <c:pt idx="9">
                  <c:v>3.2000000000000002E-3</c:v>
                </c:pt>
              </c:numCache>
            </c:numRef>
          </c:yVal>
        </c:ser>
        <c:axId val="25449984"/>
        <c:axId val="25448448"/>
      </c:scatterChart>
      <c:valAx>
        <c:axId val="25449984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1" i="0" u="none" strike="noStrike" baseline="0"/>
                  <a:t>t, </a:t>
                </a:r>
                <a:endParaRPr lang="ru-RU"/>
              </a:p>
            </c:rich>
          </c:tx>
          <c:layout/>
        </c:title>
        <c:numFmt formatCode="General" sourceLinked="1"/>
        <c:tickLblPos val="nextTo"/>
        <c:crossAx val="25448448"/>
        <c:crosses val="autoZero"/>
        <c:crossBetween val="midCat"/>
      </c:valAx>
      <c:valAx>
        <c:axId val="254484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αρ, К^(-1)</a:t>
                </a: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layout>
            <c:manualLayout>
              <c:xMode val="edge"/>
              <c:yMode val="edge"/>
              <c:x val="4.4969083754918496E-2"/>
              <c:y val="0.37848374140552316"/>
            </c:manualLayout>
          </c:layout>
          <c:spPr>
            <a:ln w="3175"/>
          </c:spPr>
        </c:title>
        <c:numFmt formatCode="General" sourceLinked="1"/>
        <c:tickLblPos val="nextTo"/>
        <c:crossAx val="2544998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Зависимость     </a:t>
            </a:r>
            <a:r>
              <a:rPr lang="ru-RU" baseline="0"/>
              <a:t> =</a:t>
            </a:r>
            <a:r>
              <a:rPr lang="en-US" baseline="0"/>
              <a:t> f(t)</a:t>
            </a:r>
            <a:r>
              <a:rPr lang="ru-RU" baseline="0"/>
              <a:t> для меди</a:t>
            </a:r>
            <a:r>
              <a:rPr lang="ru-RU"/>
              <a:t> </a:t>
            </a:r>
            <a:r>
              <a:rPr lang="ru-RU" baseline="0"/>
              <a:t> </a:t>
            </a:r>
            <a:endParaRPr lang="ru-RU"/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</c:trendline>
          <c:xVal>
            <c:numRef>
              <c:f>Лист1!$A$4:$A$13</c:f>
              <c:numCache>
                <c:formatCode>General</c:formatCode>
                <c:ptCount val="10"/>
                <c:pt idx="0">
                  <c:v>25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</c:numCache>
            </c:numRef>
          </c:xVal>
          <c:yVal>
            <c:numRef>
              <c:f>Лист1!$E$4:$E$13</c:f>
              <c:numCache>
                <c:formatCode>General</c:formatCode>
                <c:ptCount val="10"/>
                <c:pt idx="0">
                  <c:v>2.3E-3</c:v>
                </c:pt>
                <c:pt idx="1">
                  <c:v>2.2000000000000001E-3</c:v>
                </c:pt>
                <c:pt idx="2">
                  <c:v>2.2000000000000001E-3</c:v>
                </c:pt>
                <c:pt idx="3">
                  <c:v>2.0999999999999999E-3</c:v>
                </c:pt>
                <c:pt idx="4">
                  <c:v>2.0999999999999999E-3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1.9E-3</c:v>
                </c:pt>
                <c:pt idx="9">
                  <c:v>1.9E-3</c:v>
                </c:pt>
              </c:numCache>
            </c:numRef>
          </c:yVal>
        </c:ser>
        <c:axId val="153900160"/>
        <c:axId val="153902080"/>
      </c:scatterChart>
      <c:valAx>
        <c:axId val="153900160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1" i="0" u="none" strike="noStrike" baseline="0"/>
                  <a:t>t, </a:t>
                </a:r>
                <a:endParaRPr lang="ru-RU"/>
              </a:p>
            </c:rich>
          </c:tx>
          <c:layout/>
        </c:title>
        <c:numFmt formatCode="General" sourceLinked="1"/>
        <c:tickLblPos val="nextTo"/>
        <c:crossAx val="153902080"/>
        <c:crosses val="autoZero"/>
        <c:crossBetween val="midCat"/>
      </c:valAx>
      <c:valAx>
        <c:axId val="1539020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αρ, К^(-1)</a:t>
                </a: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layout>
            <c:manualLayout>
              <c:xMode val="edge"/>
              <c:yMode val="edge"/>
              <c:x val="4.4969083754918517E-2"/>
              <c:y val="0.37848374140552327"/>
            </c:manualLayout>
          </c:layout>
          <c:spPr>
            <a:ln w="3175"/>
          </c:spPr>
        </c:title>
        <c:numFmt formatCode="General" sourceLinked="1"/>
        <c:tickLblPos val="nextTo"/>
        <c:crossAx val="153900160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Зависимость     </a:t>
            </a:r>
            <a:r>
              <a:rPr lang="ru-RU" baseline="0"/>
              <a:t> =</a:t>
            </a:r>
            <a:r>
              <a:rPr lang="en-US" baseline="0"/>
              <a:t> f(t)</a:t>
            </a:r>
            <a:r>
              <a:rPr lang="ru-RU" baseline="0"/>
              <a:t> для константана</a:t>
            </a:r>
            <a:endParaRPr lang="ru-RU"/>
          </a:p>
        </c:rich>
      </c:tx>
      <c:layout>
        <c:manualLayout>
          <c:xMode val="edge"/>
          <c:yMode val="edge"/>
          <c:x val="0.1632096240920981"/>
          <c:y val="1.1527377521613832E-2"/>
        </c:manualLayout>
      </c:layout>
    </c:title>
    <c:plotArea>
      <c:layout>
        <c:manualLayout>
          <c:layoutTarget val="inner"/>
          <c:xMode val="edge"/>
          <c:yMode val="edge"/>
          <c:x val="0.19932741122368136"/>
          <c:y val="0.17320868032706285"/>
          <c:w val="0.75884567548786586"/>
          <c:h val="0.73762690326533387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</c:trendline>
          <c:xVal>
            <c:numRef>
              <c:f>Лист1!$A$4:$A$13</c:f>
              <c:numCache>
                <c:formatCode>General</c:formatCode>
                <c:ptCount val="10"/>
                <c:pt idx="0">
                  <c:v>25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</c:numCache>
            </c:numRef>
          </c:xVal>
          <c:yVal>
            <c:numRef>
              <c:f>Лист1!$G$4:$G$13</c:f>
              <c:numCache>
                <c:formatCode>0.00E+00</c:formatCode>
                <c:ptCount val="10"/>
                <c:pt idx="0">
                  <c:v>-1.395E-5</c:v>
                </c:pt>
                <c:pt idx="1">
                  <c:v>-1.396E-5</c:v>
                </c:pt>
                <c:pt idx="2">
                  <c:v>-1.397E-5</c:v>
                </c:pt>
                <c:pt idx="3">
                  <c:v>-1.398E-5</c:v>
                </c:pt>
                <c:pt idx="4">
                  <c:v>-1.399E-5</c:v>
                </c:pt>
                <c:pt idx="5">
                  <c:v>-1.4E-5</c:v>
                </c:pt>
                <c:pt idx="6">
                  <c:v>-1.401E-5</c:v>
                </c:pt>
                <c:pt idx="7">
                  <c:v>-1.402E-5</c:v>
                </c:pt>
                <c:pt idx="8">
                  <c:v>-1.403E-5</c:v>
                </c:pt>
                <c:pt idx="9">
                  <c:v>-1.4039999999999999E-5</c:v>
                </c:pt>
              </c:numCache>
            </c:numRef>
          </c:yVal>
        </c:ser>
        <c:axId val="25392256"/>
        <c:axId val="25395584"/>
      </c:scatterChart>
      <c:valAx>
        <c:axId val="2539225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1" i="0" u="none" strike="noStrike" baseline="0"/>
                  <a:t>t,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2473680250339705"/>
              <c:y val="0.10007669790555719"/>
            </c:manualLayout>
          </c:layout>
        </c:title>
        <c:numFmt formatCode="General" sourceLinked="1"/>
        <c:tickLblPos val="nextTo"/>
        <c:crossAx val="25395584"/>
        <c:crosses val="autoZero"/>
        <c:crossBetween val="midCat"/>
      </c:valAx>
      <c:valAx>
        <c:axId val="253955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/>
                  <a:t>αρ, К^(-1)</a:t>
                </a: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layout>
            <c:manualLayout>
              <c:xMode val="edge"/>
              <c:yMode val="edge"/>
              <c:x val="4.4969083754918517E-2"/>
              <c:y val="0.37848374140552327"/>
            </c:manualLayout>
          </c:layout>
          <c:spPr>
            <a:ln w="3175"/>
          </c:spPr>
        </c:title>
        <c:numFmt formatCode="0.00E+00" sourceLinked="1"/>
        <c:tickLblPos val="nextTo"/>
        <c:crossAx val="25392256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9.7064460867364921E-2"/>
          <c:y val="3.524609423822022E-2"/>
          <c:w val="0.65435419310674536"/>
          <c:h val="0.81595500562429701"/>
        </c:manualLayout>
      </c:layout>
      <c:scatterChart>
        <c:scatterStyle val="smoothMarker"/>
        <c:ser>
          <c:idx val="0"/>
          <c:order val="0"/>
          <c:tx>
            <c:v>ρCu-Ni(xNiCu)</c:v>
          </c:tx>
          <c:xVal>
            <c:numRef>
              <c:f>Лист2!$B$1:$G$1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Лист2!$B$2:$G$2</c:f>
              <c:numCache>
                <c:formatCode>General</c:formatCode>
                <c:ptCount val="6"/>
                <c:pt idx="0">
                  <c:v>0.02</c:v>
                </c:pt>
                <c:pt idx="1">
                  <c:v>0.376</c:v>
                </c:pt>
                <c:pt idx="2">
                  <c:v>0.56000000000000005</c:v>
                </c:pt>
                <c:pt idx="3">
                  <c:v>0.57199999999999995</c:v>
                </c:pt>
                <c:pt idx="4">
                  <c:v>0.41199999999999992</c:v>
                </c:pt>
                <c:pt idx="5">
                  <c:v>0.08</c:v>
                </c:pt>
              </c:numCache>
            </c:numRef>
          </c:yVal>
          <c:smooth val="1"/>
        </c:ser>
        <c:axId val="149546112"/>
        <c:axId val="158535040"/>
      </c:scatterChart>
      <c:scatterChart>
        <c:scatterStyle val="smoothMarker"/>
        <c:ser>
          <c:idx val="1"/>
          <c:order val="1"/>
          <c:tx>
            <c:v>αρCu-Ni(xCu-Ni)</c:v>
          </c:tx>
          <c:xVal>
            <c:numRef>
              <c:f>Лист2!$B$1:$G$1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Лист2!$B$3:$G$3</c:f>
              <c:numCache>
                <c:formatCode>General</c:formatCode>
                <c:ptCount val="6"/>
                <c:pt idx="0">
                  <c:v>2.2999999999999998</c:v>
                </c:pt>
                <c:pt idx="1">
                  <c:v>0.2978723404255319</c:v>
                </c:pt>
                <c:pt idx="2">
                  <c:v>0.31785714285714278</c:v>
                </c:pt>
                <c:pt idx="3">
                  <c:v>0.42657342657342667</c:v>
                </c:pt>
                <c:pt idx="4">
                  <c:v>0.75242718446601953</c:v>
                </c:pt>
                <c:pt idx="5">
                  <c:v>4.7</c:v>
                </c:pt>
              </c:numCache>
            </c:numRef>
          </c:yVal>
          <c:smooth val="1"/>
        </c:ser>
        <c:ser>
          <c:idx val="2"/>
          <c:order val="2"/>
          <c:tx>
            <c:v>αρCu-Ni(xNi=0,4)</c:v>
          </c:tx>
          <c:xVal>
            <c:numLit>
              <c:formatCode>General</c:formatCode>
              <c:ptCount val="1"/>
              <c:pt idx="0">
                <c:v>0.4</c:v>
              </c:pt>
            </c:numLit>
          </c:xVal>
          <c:yVal>
            <c:numRef>
              <c:f>Лист1!$G$4</c:f>
              <c:numCache>
                <c:formatCode>0.00E+00</c:formatCode>
                <c:ptCount val="1"/>
                <c:pt idx="0">
                  <c:v>-1.395E-5</c:v>
                </c:pt>
              </c:numCache>
            </c:numRef>
          </c:yVal>
          <c:smooth val="1"/>
        </c:ser>
        <c:axId val="50813952"/>
        <c:axId val="50811648"/>
      </c:scatterChart>
      <c:valAx>
        <c:axId val="149546112"/>
        <c:scaling>
          <c:orientation val="minMax"/>
          <c:max val="1"/>
        </c:scaling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sz="1050"/>
                  <a:t>xNi</a:t>
                </a:r>
                <a:endParaRPr lang="ru-RU" sz="1050"/>
              </a:p>
            </c:rich>
          </c:tx>
          <c:layout/>
        </c:title>
        <c:numFmt formatCode="General" sourceLinked="1"/>
        <c:tickLblPos val="nextTo"/>
        <c:crossAx val="158535040"/>
        <c:crosses val="autoZero"/>
        <c:crossBetween val="midCat"/>
      </c:valAx>
      <c:valAx>
        <c:axId val="1585350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l-GR" sz="1050"/>
                  <a:t>ρ</a:t>
                </a:r>
                <a:r>
                  <a:rPr lang="en-US" sz="1050"/>
                  <a:t>Cu-Ni, </a:t>
                </a:r>
                <a:r>
                  <a:rPr lang="ru-RU" sz="1050"/>
                  <a:t>мкОм*м</a:t>
                </a:r>
              </a:p>
            </c:rich>
          </c:tx>
          <c:layout/>
        </c:title>
        <c:numFmt formatCode="General" sourceLinked="1"/>
        <c:tickLblPos val="nextTo"/>
        <c:crossAx val="149546112"/>
        <c:crosses val="autoZero"/>
        <c:crossBetween val="midCat"/>
      </c:valAx>
      <c:valAx>
        <c:axId val="50811648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l-GR" sz="1050"/>
                  <a:t>αρ</a:t>
                </a:r>
                <a:r>
                  <a:rPr lang="en-US" sz="1050"/>
                  <a:t>Cu-Ni * 10^(-3), </a:t>
                </a:r>
                <a:r>
                  <a:rPr lang="ru-RU" sz="1050"/>
                  <a:t>К^(-1)</a:t>
                </a:r>
              </a:p>
            </c:rich>
          </c:tx>
          <c:layout/>
        </c:title>
        <c:numFmt formatCode="General" sourceLinked="1"/>
        <c:tickLblPos val="nextTo"/>
        <c:crossAx val="50813952"/>
        <c:crosses val="max"/>
        <c:crossBetween val="midCat"/>
      </c:valAx>
      <c:valAx>
        <c:axId val="50813952"/>
        <c:scaling>
          <c:orientation val="minMax"/>
        </c:scaling>
        <c:delete val="1"/>
        <c:axPos val="b"/>
        <c:numFmt formatCode="General" sourceLinked="1"/>
        <c:tickLblPos val="none"/>
        <c:crossAx val="50811648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81079222324284328"/>
          <c:y val="0.41389076365454314"/>
          <c:w val="0.18534304304567795"/>
          <c:h val="0.17221822272215973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333374</xdr:colOff>
      <xdr:row>1</xdr:row>
      <xdr:rowOff>123824</xdr:rowOff>
    </xdr:from>
    <xdr:to>
      <xdr:col>17</xdr:col>
      <xdr:colOff>495299</xdr:colOff>
      <xdr:row>18</xdr:row>
      <xdr:rowOff>85724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</xdr:row>
      <xdr:rowOff>28575</xdr:rowOff>
    </xdr:from>
    <xdr:to>
      <xdr:col>0</xdr:col>
      <xdr:colOff>276225</xdr:colOff>
      <xdr:row>3</xdr:row>
      <xdr:rowOff>9525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2400" y="419100"/>
          <a:ext cx="123825" cy="1809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2</xdr:row>
      <xdr:rowOff>19050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19200" y="200025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161925</xdr:colOff>
      <xdr:row>2</xdr:row>
      <xdr:rowOff>19050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38400" y="200025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161925</xdr:colOff>
      <xdr:row>2</xdr:row>
      <xdr:rowOff>19050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57600" y="200025"/>
          <a:ext cx="161925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18</xdr:row>
      <xdr:rowOff>152400</xdr:rowOff>
    </xdr:from>
    <xdr:to>
      <xdr:col>9</xdr:col>
      <xdr:colOff>161925</xdr:colOff>
      <xdr:row>36</xdr:row>
      <xdr:rowOff>28575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514350</xdr:colOff>
      <xdr:row>18</xdr:row>
      <xdr:rowOff>171450</xdr:rowOff>
    </xdr:from>
    <xdr:to>
      <xdr:col>19</xdr:col>
      <xdr:colOff>66675</xdr:colOff>
      <xdr:row>36</xdr:row>
      <xdr:rowOff>47625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0.58234</cdr:x>
      <cdr:y>0.89177</cdr:y>
    </cdr:from>
    <cdr:to>
      <cdr:x>0.60943</cdr:x>
      <cdr:y>0.95774</cdr:y>
    </cdr:to>
    <cdr:pic>
      <cdr:nvPicPr>
        <cdr:cNvPr id="9" name="Picture 4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289260" y="2947458"/>
          <a:ext cx="152976" cy="218050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  <cdr:relSizeAnchor xmlns:cdr="http://schemas.openxmlformats.org/drawingml/2006/chartDrawing">
    <cdr:from>
      <cdr:x>0.44792</cdr:x>
      <cdr:y>0.03656</cdr:y>
    </cdr:from>
    <cdr:to>
      <cdr:x>0.49375</cdr:x>
      <cdr:y>0.13542</cdr:y>
    </cdr:to>
    <cdr:pic>
      <cdr:nvPicPr>
        <cdr:cNvPr id="10" name="Picture 8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047875" y="100293"/>
          <a:ext cx="209550" cy="271182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0.58234</cdr:x>
      <cdr:y>0.89177</cdr:y>
    </cdr:from>
    <cdr:to>
      <cdr:x>0.60943</cdr:x>
      <cdr:y>0.95774</cdr:y>
    </cdr:to>
    <cdr:pic>
      <cdr:nvPicPr>
        <cdr:cNvPr id="9" name="Picture 4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289260" y="2947458"/>
          <a:ext cx="152976" cy="218050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  <cdr:relSizeAnchor xmlns:cdr="http://schemas.openxmlformats.org/drawingml/2006/chartDrawing">
    <cdr:from>
      <cdr:x>0.46647</cdr:x>
      <cdr:y>0.02215</cdr:y>
    </cdr:from>
    <cdr:to>
      <cdr:x>0.5123</cdr:x>
      <cdr:y>0.12101</cdr:y>
    </cdr:to>
    <cdr:pic>
      <cdr:nvPicPr>
        <cdr:cNvPr id="10" name="Picture 8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634773" y="73212"/>
          <a:ext cx="258862" cy="326750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0.55199</cdr:x>
      <cdr:y>0.09926</cdr:y>
    </cdr:from>
    <cdr:to>
      <cdr:x>0.57908</cdr:x>
      <cdr:y>0.16523</cdr:y>
    </cdr:to>
    <cdr:pic>
      <cdr:nvPicPr>
        <cdr:cNvPr id="9" name="Picture 4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117796" y="328081"/>
          <a:ext cx="153013" cy="218042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  <cdr:relSizeAnchor xmlns:cdr="http://schemas.openxmlformats.org/drawingml/2006/chartDrawing">
    <cdr:from>
      <cdr:x>0.40239</cdr:x>
      <cdr:y>0.01927</cdr:y>
    </cdr:from>
    <cdr:to>
      <cdr:x>0.44822</cdr:x>
      <cdr:y>0.11813</cdr:y>
    </cdr:to>
    <cdr:pic>
      <cdr:nvPicPr>
        <cdr:cNvPr id="10" name="Picture 8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272823" y="63687"/>
          <a:ext cx="258862" cy="326750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3</xdr:row>
      <xdr:rowOff>142875</xdr:rowOff>
    </xdr:from>
    <xdr:to>
      <xdr:col>9</xdr:col>
      <xdr:colOff>590550</xdr:colOff>
      <xdr:row>24</xdr:row>
      <xdr:rowOff>142875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K22" sqref="K22"/>
    </sheetView>
  </sheetViews>
  <sheetFormatPr defaultRowHeight="15"/>
  <sheetData>
    <row r="1" spans="1:7" ht="15.75" thickBot="1">
      <c r="A1" s="1"/>
      <c r="B1" s="10" t="s">
        <v>0</v>
      </c>
      <c r="C1" s="11"/>
      <c r="D1" s="10" t="s">
        <v>1</v>
      </c>
      <c r="E1" s="11"/>
      <c r="F1" s="10" t="s">
        <v>2</v>
      </c>
      <c r="G1" s="11"/>
    </row>
    <row r="2" spans="1:7" ht="15" customHeight="1">
      <c r="A2" s="8" t="s">
        <v>3</v>
      </c>
      <c r="B2" s="8" t="s">
        <v>4</v>
      </c>
      <c r="C2" s="8" t="s">
        <v>5</v>
      </c>
      <c r="D2" s="8" t="s">
        <v>6</v>
      </c>
      <c r="E2" s="8" t="s">
        <v>5</v>
      </c>
      <c r="F2" s="8" t="s">
        <v>6</v>
      </c>
      <c r="G2" s="8" t="s">
        <v>5</v>
      </c>
    </row>
    <row r="3" spans="1:7" ht="15.75" customHeight="1" thickBot="1">
      <c r="A3" s="9"/>
      <c r="B3" s="9"/>
      <c r="C3" s="9"/>
      <c r="D3" s="9"/>
      <c r="E3" s="9"/>
      <c r="F3" s="9"/>
      <c r="G3" s="9"/>
    </row>
    <row r="4" spans="1:7" ht="15.75" thickBot="1">
      <c r="A4" s="2">
        <v>25</v>
      </c>
      <c r="B4" s="3">
        <v>19.66</v>
      </c>
      <c r="C4" s="3">
        <v>4.7000000000000002E-3</v>
      </c>
      <c r="D4" s="3">
        <v>112.98</v>
      </c>
      <c r="E4" s="3">
        <v>2.3E-3</v>
      </c>
      <c r="F4" s="3">
        <v>30.61</v>
      </c>
      <c r="G4" s="4">
        <v>-1.395E-5</v>
      </c>
    </row>
    <row r="5" spans="1:7" ht="15.75" thickBot="1">
      <c r="A5" s="5">
        <v>40</v>
      </c>
      <c r="B5" s="6">
        <v>20.83</v>
      </c>
      <c r="C5" s="3">
        <v>4.4000000000000003E-3</v>
      </c>
      <c r="D5" s="6">
        <v>117.96</v>
      </c>
      <c r="E5" s="6">
        <v>2.2000000000000001E-3</v>
      </c>
      <c r="F5" s="6">
        <v>30.6</v>
      </c>
      <c r="G5" s="7">
        <v>-1.396E-5</v>
      </c>
    </row>
    <row r="6" spans="1:7" ht="15.75" thickBot="1">
      <c r="A6" s="2">
        <v>50</v>
      </c>
      <c r="B6" s="3">
        <v>21.99</v>
      </c>
      <c r="C6" s="3">
        <v>4.1999999999999997E-3</v>
      </c>
      <c r="D6" s="3">
        <v>119.74</v>
      </c>
      <c r="E6" s="3">
        <v>2.2000000000000001E-3</v>
      </c>
      <c r="F6" s="3">
        <v>30.59</v>
      </c>
      <c r="G6" s="4">
        <v>-1.397E-5</v>
      </c>
    </row>
    <row r="7" spans="1:7" ht="15.75" thickBot="1">
      <c r="A7" s="2">
        <v>60</v>
      </c>
      <c r="B7" s="3">
        <v>21.57</v>
      </c>
      <c r="C7" s="3">
        <v>4.3E-3</v>
      </c>
      <c r="D7" s="3">
        <v>122.37</v>
      </c>
      <c r="E7" s="3">
        <v>2.0999999999999999E-3</v>
      </c>
      <c r="F7" s="3">
        <v>30.58</v>
      </c>
      <c r="G7" s="4">
        <v>-1.398E-5</v>
      </c>
    </row>
    <row r="8" spans="1:7" ht="15.75" thickBot="1">
      <c r="A8" s="2">
        <v>70</v>
      </c>
      <c r="B8" s="3">
        <v>23.18</v>
      </c>
      <c r="C8" s="3">
        <v>4.0000000000000001E-3</v>
      </c>
      <c r="D8" s="3">
        <v>124.83</v>
      </c>
      <c r="E8" s="3">
        <v>2.0999999999999999E-3</v>
      </c>
      <c r="F8" s="3">
        <v>30.57</v>
      </c>
      <c r="G8" s="4">
        <v>-1.399E-5</v>
      </c>
    </row>
    <row r="9" spans="1:7" ht="15.75" thickBot="1">
      <c r="A9" s="2">
        <v>80</v>
      </c>
      <c r="B9" s="3">
        <v>25.22</v>
      </c>
      <c r="C9" s="3">
        <v>3.7000000000000002E-3</v>
      </c>
      <c r="D9" s="3">
        <v>127.39</v>
      </c>
      <c r="E9" s="3">
        <v>2E-3</v>
      </c>
      <c r="F9" s="3">
        <v>30.56</v>
      </c>
      <c r="G9" s="4">
        <v>-1.4E-5</v>
      </c>
    </row>
    <row r="10" spans="1:7" ht="15.75" thickBot="1">
      <c r="A10" s="2">
        <v>90</v>
      </c>
      <c r="B10" s="3">
        <v>25.54</v>
      </c>
      <c r="C10" s="3">
        <v>3.5999999999999999E-3</v>
      </c>
      <c r="D10" s="3">
        <v>129.91999999999999</v>
      </c>
      <c r="E10" s="3">
        <v>2E-3</v>
      </c>
      <c r="F10" s="3">
        <v>30.55</v>
      </c>
      <c r="G10" s="4">
        <v>-1.401E-5</v>
      </c>
    </row>
    <row r="11" spans="1:7" ht="15.75" thickBot="1">
      <c r="A11" s="2">
        <v>100</v>
      </c>
      <c r="B11" s="3">
        <v>26.83</v>
      </c>
      <c r="C11" s="3">
        <v>3.3999999999999998E-3</v>
      </c>
      <c r="D11" s="3">
        <v>132.59</v>
      </c>
      <c r="E11" s="3">
        <v>2E-3</v>
      </c>
      <c r="F11" s="3">
        <v>30.54</v>
      </c>
      <c r="G11" s="4">
        <v>-1.402E-5</v>
      </c>
    </row>
    <row r="12" spans="1:7" ht="15.75" thickBot="1">
      <c r="A12" s="2">
        <v>110</v>
      </c>
      <c r="B12" s="6">
        <v>27.13</v>
      </c>
      <c r="C12" s="3">
        <v>3.3999999999999998E-3</v>
      </c>
      <c r="D12" s="3">
        <v>135.27000000000001</v>
      </c>
      <c r="E12" s="3">
        <v>1.9E-3</v>
      </c>
      <c r="F12" s="3">
        <v>30.53</v>
      </c>
      <c r="G12" s="4">
        <v>-1.403E-5</v>
      </c>
    </row>
    <row r="13" spans="1:7" ht="15.75" thickBot="1">
      <c r="A13" s="2">
        <v>120</v>
      </c>
      <c r="B13" s="3">
        <v>28.37</v>
      </c>
      <c r="C13" s="3">
        <v>3.2000000000000002E-3</v>
      </c>
      <c r="D13" s="3">
        <v>137.37</v>
      </c>
      <c r="E13" s="3">
        <v>1.9E-3</v>
      </c>
      <c r="F13" s="3">
        <v>30.52</v>
      </c>
      <c r="G13" s="4">
        <v>-1.4039999999999999E-5</v>
      </c>
    </row>
  </sheetData>
  <mergeCells count="10">
    <mergeCell ref="F1:G1"/>
    <mergeCell ref="E2:E3"/>
    <mergeCell ref="F2:F3"/>
    <mergeCell ref="G2:G3"/>
    <mergeCell ref="A2:A3"/>
    <mergeCell ref="B2:B3"/>
    <mergeCell ref="C2:C3"/>
    <mergeCell ref="D2:D3"/>
    <mergeCell ref="B1:C1"/>
    <mergeCell ref="D1:E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tabSelected="1" topLeftCell="A2" workbookViewId="0">
      <selection activeCell="A2" sqref="A2"/>
    </sheetView>
  </sheetViews>
  <sheetFormatPr defaultRowHeight="15"/>
  <cols>
    <col min="1" max="1" width="21.85546875" customWidth="1"/>
  </cols>
  <sheetData>
    <row r="1" spans="1:7" ht="15.75">
      <c r="A1" s="12" t="s">
        <v>7</v>
      </c>
      <c r="B1" s="13">
        <v>0</v>
      </c>
      <c r="C1" s="13">
        <v>0.2</v>
      </c>
      <c r="D1" s="13">
        <v>0.4</v>
      </c>
      <c r="E1" s="13">
        <v>0.6</v>
      </c>
      <c r="F1" s="13">
        <v>0.8</v>
      </c>
      <c r="G1" s="13">
        <v>1</v>
      </c>
    </row>
    <row r="2" spans="1:7" ht="15.75">
      <c r="A2" s="12" t="s">
        <v>8</v>
      </c>
      <c r="B2" s="13">
        <f>0.08*B1+0.02*(1-B1)+2.15*B1*(1-B1)</f>
        <v>0.02</v>
      </c>
      <c r="C2" s="13">
        <f t="shared" ref="C2:G2" si="0">0.08*C1+0.02*(1-C1)+2.15*C1*(1-C1)</f>
        <v>0.376</v>
      </c>
      <c r="D2" s="13">
        <f t="shared" si="0"/>
        <v>0.56000000000000005</v>
      </c>
      <c r="E2" s="13">
        <f t="shared" si="0"/>
        <v>0.57199999999999995</v>
      </c>
      <c r="F2" s="13">
        <f t="shared" si="0"/>
        <v>0.41199999999999992</v>
      </c>
      <c r="G2" s="13">
        <f t="shared" si="0"/>
        <v>0.08</v>
      </c>
    </row>
    <row r="3" spans="1:7" ht="24">
      <c r="A3" s="14" t="s">
        <v>9</v>
      </c>
      <c r="B3" s="13">
        <f>((1-B1)*0.02*0.0023+B1*0.08*0.0047)/B2*1000</f>
        <v>2.2999999999999998</v>
      </c>
      <c r="C3" s="13">
        <f t="shared" ref="C3:G3" si="1">((1-C1)*0.02*0.0023+C1*0.08*0.0047)/C2*1000</f>
        <v>0.2978723404255319</v>
      </c>
      <c r="D3" s="13">
        <f t="shared" si="1"/>
        <v>0.31785714285714278</v>
      </c>
      <c r="E3" s="13">
        <f t="shared" si="1"/>
        <v>0.42657342657342667</v>
      </c>
      <c r="F3" s="13">
        <f t="shared" si="1"/>
        <v>0.75242718446601953</v>
      </c>
      <c r="G3" s="13">
        <f t="shared" si="1"/>
        <v>4.7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2026-04-26T17:31:50Z</dcterms:created>
  <dcterms:modified xsi:type="dcterms:W3CDTF">2026-04-26T22:47:07Z</dcterms:modified>
</cp:coreProperties>
</file>