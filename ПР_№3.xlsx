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G22" i="1"/>
  <c r="G23"/>
  <c r="G24"/>
  <c r="G25"/>
  <c r="G26"/>
  <c r="G27"/>
  <c r="G28"/>
  <c r="G29"/>
  <c r="G30"/>
  <c r="G21"/>
  <c r="C22"/>
  <c r="C23"/>
  <c r="C24"/>
  <c r="C25"/>
  <c r="C26"/>
  <c r="C27"/>
  <c r="C28"/>
  <c r="C29"/>
  <c r="C30"/>
  <c r="C21"/>
  <c r="C5"/>
  <c r="C6"/>
  <c r="C7"/>
  <c r="C8"/>
  <c r="C9"/>
  <c r="C10"/>
  <c r="C11"/>
  <c r="C12"/>
  <c r="C13"/>
  <c r="C4"/>
  <c r="F30"/>
  <c r="F29"/>
  <c r="F28"/>
  <c r="F27"/>
  <c r="F26"/>
  <c r="F25"/>
  <c r="F24"/>
  <c r="F23"/>
  <c r="F22"/>
  <c r="F21"/>
  <c r="F5"/>
  <c r="F6"/>
  <c r="F7"/>
  <c r="F8"/>
  <c r="F9"/>
  <c r="F10"/>
  <c r="F11"/>
  <c r="F12"/>
  <c r="F13"/>
  <c r="F4"/>
  <c r="F14" s="1"/>
  <c r="G6" l="1"/>
  <c r="G8"/>
  <c r="G10"/>
  <c r="G12"/>
  <c r="G4"/>
  <c r="G13"/>
  <c r="G11"/>
  <c r="G9"/>
  <c r="G7"/>
  <c r="G5"/>
  <c r="F31"/>
</calcChain>
</file>

<file path=xl/sharedStrings.xml><?xml version="1.0" encoding="utf-8"?>
<sst xmlns="http://schemas.openxmlformats.org/spreadsheetml/2006/main" count="22" uniqueCount="12">
  <si>
    <r>
      <t xml:space="preserve">Тип панели: </t>
    </r>
    <r>
      <rPr>
        <b/>
        <sz val="11"/>
        <color theme="1"/>
        <rFont val="Calibri"/>
        <family val="2"/>
        <charset val="204"/>
        <scheme val="minor"/>
      </rPr>
      <t>Моно</t>
    </r>
  </si>
  <si>
    <r>
      <t xml:space="preserve">Режим: </t>
    </r>
    <r>
      <rPr>
        <b/>
        <sz val="11"/>
        <color theme="1"/>
        <rFont val="Calibri"/>
        <family val="2"/>
        <charset val="204"/>
        <scheme val="minor"/>
      </rPr>
      <t>Pмакс</t>
    </r>
  </si>
  <si>
    <r>
      <t xml:space="preserve">Мощность источника света: </t>
    </r>
    <r>
      <rPr>
        <u/>
        <sz val="11"/>
        <color theme="1"/>
        <rFont val="Calibri"/>
        <family val="2"/>
        <charset val="204"/>
        <scheme val="minor"/>
      </rPr>
      <t>20 Вт</t>
    </r>
  </si>
  <si>
    <t>Номер 
опыта</t>
  </si>
  <si>
    <t>Закрыто 
элементов</t>
  </si>
  <si>
    <t>Рабочая 
площадь, %</t>
  </si>
  <si>
    <t>I, мА</t>
  </si>
  <si>
    <t>U, В</t>
  </si>
  <si>
    <t>P,мВт</t>
  </si>
  <si>
    <t>P/Pmax, %</t>
  </si>
  <si>
    <t>Рмакс</t>
  </si>
  <si>
    <r>
      <t xml:space="preserve">Тип панели: </t>
    </r>
    <r>
      <rPr>
        <b/>
        <sz val="11"/>
        <color theme="1"/>
        <rFont val="Calibri"/>
        <family val="2"/>
        <charset val="204"/>
        <scheme val="minor"/>
      </rPr>
      <t>Поли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</si>
</sst>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Ток от используемой площади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Моно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Лист1!$D$4:$D$13</c:f>
              <c:numCache>
                <c:formatCode>General</c:formatCode>
                <c:ptCount val="10"/>
                <c:pt idx="0">
                  <c:v>13.82</c:v>
                </c:pt>
                <c:pt idx="1">
                  <c:v>6.87</c:v>
                </c:pt>
                <c:pt idx="2">
                  <c:v>1.65</c:v>
                </c:pt>
                <c:pt idx="3">
                  <c:v>0.81</c:v>
                </c:pt>
                <c:pt idx="4">
                  <c:v>0.66</c:v>
                </c:pt>
                <c:pt idx="5">
                  <c:v>0.57999999999999996</c:v>
                </c:pt>
                <c:pt idx="6">
                  <c:v>0.42</c:v>
                </c:pt>
                <c:pt idx="7">
                  <c:v>0.35</c:v>
                </c:pt>
                <c:pt idx="8">
                  <c:v>0.33</c:v>
                </c:pt>
                <c:pt idx="9">
                  <c:v>0.25</c:v>
                </c:pt>
              </c:numCache>
            </c:numRef>
          </c:val>
        </c:ser>
        <c:ser>
          <c:idx val="1"/>
          <c:order val="1"/>
          <c:tx>
            <c:v>Поли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Лист1!$D$21:$D$30</c:f>
              <c:numCache>
                <c:formatCode>General</c:formatCode>
                <c:ptCount val="10"/>
                <c:pt idx="0">
                  <c:v>14.8</c:v>
                </c:pt>
                <c:pt idx="1">
                  <c:v>7.12</c:v>
                </c:pt>
                <c:pt idx="2">
                  <c:v>4.1100000000000003</c:v>
                </c:pt>
                <c:pt idx="3">
                  <c:v>2.52</c:v>
                </c:pt>
                <c:pt idx="4">
                  <c:v>1.96</c:v>
                </c:pt>
                <c:pt idx="5">
                  <c:v>1.1000000000000001</c:v>
                </c:pt>
                <c:pt idx="6">
                  <c:v>0.89</c:v>
                </c:pt>
                <c:pt idx="7">
                  <c:v>0.86</c:v>
                </c:pt>
                <c:pt idx="8">
                  <c:v>0.82</c:v>
                </c:pt>
                <c:pt idx="9">
                  <c:v>0.8</c:v>
                </c:pt>
              </c:numCache>
            </c:numRef>
          </c:val>
        </c:ser>
        <c:marker val="1"/>
        <c:axId val="101919744"/>
        <c:axId val="101933824"/>
      </c:lineChart>
      <c:catAx>
        <c:axId val="10191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Площадь,</a:t>
                </a:r>
                <a:r>
                  <a:rPr lang="ru-RU" baseline="0"/>
                  <a:t> %</a:t>
                </a:r>
                <a:endParaRPr lang="ru-RU"/>
              </a:p>
            </c:rich>
          </c:tx>
          <c:layout/>
        </c:title>
        <c:numFmt formatCode="0.00%" sourceLinked="1"/>
        <c:tickLblPos val="nextTo"/>
        <c:crossAx val="101933824"/>
        <c:crosses val="autoZero"/>
        <c:auto val="1"/>
        <c:lblAlgn val="ctr"/>
        <c:lblOffset val="100"/>
      </c:catAx>
      <c:valAx>
        <c:axId val="1019338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Ток </a:t>
                </a:r>
                <a:r>
                  <a:rPr lang="en-US"/>
                  <a:t>I</a:t>
                </a:r>
                <a:r>
                  <a:rPr lang="ru-RU"/>
                  <a:t>, мА</a:t>
                </a:r>
              </a:p>
            </c:rich>
          </c:tx>
          <c:layout/>
        </c:title>
        <c:numFmt formatCode="General" sourceLinked="1"/>
        <c:tickLblPos val="nextTo"/>
        <c:crossAx val="101919744"/>
        <c:crossesAt val="1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 sz="1800" b="1" i="0" baseline="0"/>
              <a:t>Напряжение от используемой площади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Моно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Лист1!$E$4:$E$13</c:f>
              <c:numCache>
                <c:formatCode>General</c:formatCode>
                <c:ptCount val="10"/>
                <c:pt idx="0">
                  <c:v>10.5</c:v>
                </c:pt>
                <c:pt idx="1">
                  <c:v>4.58</c:v>
                </c:pt>
                <c:pt idx="2">
                  <c:v>1.36</c:v>
                </c:pt>
                <c:pt idx="3">
                  <c:v>0.72</c:v>
                </c:pt>
                <c:pt idx="4">
                  <c:v>0.46</c:v>
                </c:pt>
                <c:pt idx="5">
                  <c:v>0.51</c:v>
                </c:pt>
                <c:pt idx="6">
                  <c:v>0.33</c:v>
                </c:pt>
                <c:pt idx="7">
                  <c:v>0.28000000000000003</c:v>
                </c:pt>
                <c:pt idx="8">
                  <c:v>0.24</c:v>
                </c:pt>
                <c:pt idx="9">
                  <c:v>0.21</c:v>
                </c:pt>
              </c:numCache>
            </c:numRef>
          </c:val>
        </c:ser>
        <c:ser>
          <c:idx val="1"/>
          <c:order val="1"/>
          <c:tx>
            <c:v>Поли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Лист1!$E$21:$E$30</c:f>
              <c:numCache>
                <c:formatCode>General</c:formatCode>
                <c:ptCount val="10"/>
                <c:pt idx="0">
                  <c:v>10.85</c:v>
                </c:pt>
                <c:pt idx="1">
                  <c:v>5.55</c:v>
                </c:pt>
                <c:pt idx="2">
                  <c:v>3.14</c:v>
                </c:pt>
                <c:pt idx="3">
                  <c:v>1.78</c:v>
                </c:pt>
                <c:pt idx="4">
                  <c:v>1.53</c:v>
                </c:pt>
                <c:pt idx="5">
                  <c:v>0.82</c:v>
                </c:pt>
                <c:pt idx="6">
                  <c:v>0.64</c:v>
                </c:pt>
                <c:pt idx="7">
                  <c:v>0.62</c:v>
                </c:pt>
                <c:pt idx="8">
                  <c:v>0.59</c:v>
                </c:pt>
                <c:pt idx="9">
                  <c:v>0.55000000000000004</c:v>
                </c:pt>
              </c:numCache>
            </c:numRef>
          </c:val>
        </c:ser>
        <c:marker val="1"/>
        <c:axId val="158881664"/>
        <c:axId val="158883200"/>
      </c:lineChart>
      <c:catAx>
        <c:axId val="158881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Площадь, %</a:t>
                </a:r>
              </a:p>
            </c:rich>
          </c:tx>
          <c:layout/>
        </c:title>
        <c:numFmt formatCode="0.00%" sourceLinked="1"/>
        <c:tickLblPos val="nextTo"/>
        <c:crossAx val="158883200"/>
        <c:crosses val="autoZero"/>
        <c:auto val="1"/>
        <c:lblAlgn val="ctr"/>
        <c:lblOffset val="100"/>
      </c:catAx>
      <c:valAx>
        <c:axId val="1588832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Напряжение</a:t>
                </a:r>
                <a:r>
                  <a:rPr lang="ru-RU" baseline="0"/>
                  <a:t> </a:t>
                </a:r>
                <a:r>
                  <a:rPr lang="en-US" baseline="0"/>
                  <a:t>U</a:t>
                </a:r>
                <a:r>
                  <a:rPr lang="ru-RU" baseline="0"/>
                  <a:t>, В</a:t>
                </a:r>
                <a:endParaRPr lang="ru-RU"/>
              </a:p>
            </c:rich>
          </c:tx>
          <c:layout/>
        </c:title>
        <c:numFmt formatCode="General" sourceLinked="1"/>
        <c:tickLblPos val="nextTo"/>
        <c:crossAx val="158881664"/>
        <c:crossesAt val="1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 sz="1800" b="1" i="0" baseline="0"/>
              <a:t>Мощность от используемой площади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Моно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Лист1!$F$4:$F$13</c:f>
              <c:numCache>
                <c:formatCode>General</c:formatCode>
                <c:ptCount val="10"/>
                <c:pt idx="0">
                  <c:v>145.11000000000001</c:v>
                </c:pt>
                <c:pt idx="1">
                  <c:v>31.464600000000001</c:v>
                </c:pt>
                <c:pt idx="2">
                  <c:v>2.2440000000000002</c:v>
                </c:pt>
                <c:pt idx="3">
                  <c:v>0.58320000000000005</c:v>
                </c:pt>
                <c:pt idx="4">
                  <c:v>0.30360000000000004</c:v>
                </c:pt>
                <c:pt idx="5">
                  <c:v>0.29580000000000001</c:v>
                </c:pt>
                <c:pt idx="6">
                  <c:v>0.1386</c:v>
                </c:pt>
                <c:pt idx="7">
                  <c:v>9.8000000000000004E-2</c:v>
                </c:pt>
                <c:pt idx="8">
                  <c:v>7.9200000000000007E-2</c:v>
                </c:pt>
                <c:pt idx="9">
                  <c:v>5.2499999999999998E-2</c:v>
                </c:pt>
              </c:numCache>
            </c:numRef>
          </c:val>
        </c:ser>
        <c:ser>
          <c:idx val="1"/>
          <c:order val="1"/>
          <c:tx>
            <c:v>Поли</c:v>
          </c:tx>
          <c:cat>
            <c:numRef>
              <c:f>Лист1!$C$21:$C$30</c:f>
              <c:numCache>
                <c:formatCode>0.00%</c:formatCode>
                <c:ptCount val="10"/>
                <c:pt idx="0">
                  <c:v>1</c:v>
                </c:pt>
                <c:pt idx="1">
                  <c:v>0.94444444444444442</c:v>
                </c:pt>
                <c:pt idx="2">
                  <c:v>0.88888888888888884</c:v>
                </c:pt>
                <c:pt idx="3">
                  <c:v>0.83333333333333337</c:v>
                </c:pt>
                <c:pt idx="4">
                  <c:v>0.77777777777777779</c:v>
                </c:pt>
                <c:pt idx="5">
                  <c:v>0.72222222222222221</c:v>
                </c:pt>
                <c:pt idx="6">
                  <c:v>0.66666666666666674</c:v>
                </c:pt>
                <c:pt idx="7">
                  <c:v>0.61111111111111116</c:v>
                </c:pt>
                <c:pt idx="8">
                  <c:v>0.55555555555555558</c:v>
                </c:pt>
                <c:pt idx="9">
                  <c:v>0.5</c:v>
                </c:pt>
              </c:numCache>
            </c:numRef>
          </c:cat>
          <c:val>
            <c:numRef>
              <c:f>Лист1!$F$21:$F$30</c:f>
              <c:numCache>
                <c:formatCode>General</c:formatCode>
                <c:ptCount val="10"/>
                <c:pt idx="0">
                  <c:v>160.58000000000001</c:v>
                </c:pt>
                <c:pt idx="1">
                  <c:v>39.515999999999998</c:v>
                </c:pt>
                <c:pt idx="2">
                  <c:v>12.905400000000002</c:v>
                </c:pt>
                <c:pt idx="3">
                  <c:v>4.4855999999999998</c:v>
                </c:pt>
                <c:pt idx="4">
                  <c:v>2.9988000000000001</c:v>
                </c:pt>
                <c:pt idx="5">
                  <c:v>0.90200000000000002</c:v>
                </c:pt>
                <c:pt idx="6">
                  <c:v>0.5696</c:v>
                </c:pt>
                <c:pt idx="7">
                  <c:v>0.53320000000000001</c:v>
                </c:pt>
                <c:pt idx="8">
                  <c:v>0.48379999999999995</c:v>
                </c:pt>
                <c:pt idx="9">
                  <c:v>0.44000000000000006</c:v>
                </c:pt>
              </c:numCache>
            </c:numRef>
          </c:val>
        </c:ser>
        <c:marker val="1"/>
        <c:axId val="45728896"/>
        <c:axId val="45730432"/>
      </c:lineChart>
      <c:catAx>
        <c:axId val="45728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Площадь,</a:t>
                </a:r>
                <a:r>
                  <a:rPr lang="ru-RU" baseline="0"/>
                  <a:t> %</a:t>
                </a:r>
                <a:endParaRPr lang="ru-RU"/>
              </a:p>
            </c:rich>
          </c:tx>
          <c:layout/>
        </c:title>
        <c:numFmt formatCode="0.00%" sourceLinked="1"/>
        <c:tickLblPos val="nextTo"/>
        <c:crossAx val="45730432"/>
        <c:crosses val="autoZero"/>
        <c:auto val="1"/>
        <c:lblAlgn val="ctr"/>
        <c:lblOffset val="100"/>
      </c:catAx>
      <c:valAx>
        <c:axId val="457304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Мощность </a:t>
                </a:r>
                <a:r>
                  <a:rPr lang="en-US"/>
                  <a:t>P</a:t>
                </a:r>
                <a:r>
                  <a:rPr lang="ru-RU"/>
                  <a:t>, мВт</a:t>
                </a:r>
              </a:p>
            </c:rich>
          </c:tx>
          <c:layout/>
        </c:title>
        <c:numFmt formatCode="General" sourceLinked="1"/>
        <c:tickLblPos val="nextTo"/>
        <c:crossAx val="45728896"/>
        <c:crossesAt val="1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104775</xdr:rowOff>
    </xdr:from>
    <xdr:to>
      <xdr:col>14</xdr:col>
      <xdr:colOff>419100</xdr:colOff>
      <xdr:row>13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142875</xdr:colOff>
      <xdr:row>16</xdr:row>
      <xdr:rowOff>123825</xdr:rowOff>
    </xdr:from>
    <xdr:to>
      <xdr:col>14</xdr:col>
      <xdr:colOff>447675</xdr:colOff>
      <xdr:row>30</xdr:row>
      <xdr:rowOff>9525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923925</xdr:colOff>
      <xdr:row>30</xdr:row>
      <xdr:rowOff>171449</xdr:rowOff>
    </xdr:from>
    <xdr:to>
      <xdr:col>14</xdr:col>
      <xdr:colOff>438150</xdr:colOff>
      <xdr:row>45</xdr:row>
      <xdr:rowOff>180974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topLeftCell="A25" workbookViewId="0">
      <selection activeCell="H33" sqref="H33"/>
    </sheetView>
  </sheetViews>
  <sheetFormatPr defaultRowHeight="15"/>
  <cols>
    <col min="1" max="7" width="15.7109375" customWidth="1"/>
  </cols>
  <sheetData>
    <row r="1" spans="1:7">
      <c r="A1" s="10" t="s">
        <v>0</v>
      </c>
      <c r="B1" s="11"/>
      <c r="C1" s="12"/>
      <c r="D1" s="10" t="s">
        <v>2</v>
      </c>
      <c r="E1" s="11"/>
      <c r="F1" s="11"/>
      <c r="G1" s="12"/>
    </row>
    <row r="2" spans="1:7">
      <c r="A2" s="10" t="s">
        <v>1</v>
      </c>
      <c r="B2" s="11"/>
      <c r="C2" s="12"/>
      <c r="D2" s="10"/>
      <c r="E2" s="11"/>
      <c r="F2" s="11"/>
      <c r="G2" s="12"/>
    </row>
    <row r="3" spans="1:7" ht="31.5" customHeight="1">
      <c r="A3" s="2" t="s">
        <v>3</v>
      </c>
      <c r="B3" s="2" t="s">
        <v>4</v>
      </c>
      <c r="C3" s="2" t="s">
        <v>5</v>
      </c>
      <c r="D3" s="1" t="s">
        <v>6</v>
      </c>
      <c r="E3" s="1" t="s">
        <v>7</v>
      </c>
      <c r="F3" s="1" t="s">
        <v>8</v>
      </c>
      <c r="G3" s="3" t="s">
        <v>9</v>
      </c>
    </row>
    <row r="4" spans="1:7">
      <c r="A4" s="1">
        <v>1</v>
      </c>
      <c r="B4" s="1">
        <v>0</v>
      </c>
      <c r="C4" s="7">
        <f>(1-B4/18)</f>
        <v>1</v>
      </c>
      <c r="D4" s="1">
        <v>13.82</v>
      </c>
      <c r="E4" s="1">
        <v>10.5</v>
      </c>
      <c r="F4" s="8">
        <f>D4*E4</f>
        <v>145.11000000000001</v>
      </c>
      <c r="G4" s="7">
        <f>F4/F$14</f>
        <v>1</v>
      </c>
    </row>
    <row r="5" spans="1:7">
      <c r="A5" s="1">
        <v>2</v>
      </c>
      <c r="B5" s="1">
        <v>1</v>
      </c>
      <c r="C5" s="7">
        <f t="shared" ref="C5:C13" si="0">(1-B5/18)</f>
        <v>0.94444444444444442</v>
      </c>
      <c r="D5" s="1">
        <v>6.87</v>
      </c>
      <c r="E5" s="1">
        <v>4.58</v>
      </c>
      <c r="F5" s="1">
        <f t="shared" ref="F5:F13" si="1">D5*E5</f>
        <v>31.464600000000001</v>
      </c>
      <c r="G5" s="7">
        <f t="shared" ref="G5:G13" si="2">F5/F$14</f>
        <v>0.21683274757080834</v>
      </c>
    </row>
    <row r="6" spans="1:7">
      <c r="A6" s="1">
        <v>3</v>
      </c>
      <c r="B6" s="1">
        <v>2</v>
      </c>
      <c r="C6" s="7">
        <f t="shared" si="0"/>
        <v>0.88888888888888884</v>
      </c>
      <c r="D6" s="1">
        <v>1.65</v>
      </c>
      <c r="E6" s="1">
        <v>1.36</v>
      </c>
      <c r="F6" s="1">
        <f t="shared" si="1"/>
        <v>2.2440000000000002</v>
      </c>
      <c r="G6" s="7">
        <f t="shared" si="2"/>
        <v>1.5464130659499691E-2</v>
      </c>
    </row>
    <row r="7" spans="1:7">
      <c r="A7" s="1">
        <v>4</v>
      </c>
      <c r="B7" s="1">
        <v>3</v>
      </c>
      <c r="C7" s="7">
        <f t="shared" si="0"/>
        <v>0.83333333333333337</v>
      </c>
      <c r="D7" s="1">
        <v>0.81</v>
      </c>
      <c r="E7" s="1">
        <v>0.72</v>
      </c>
      <c r="F7" s="1">
        <f t="shared" si="1"/>
        <v>0.58320000000000005</v>
      </c>
      <c r="G7" s="7">
        <f t="shared" si="2"/>
        <v>4.0190200537523254E-3</v>
      </c>
    </row>
    <row r="8" spans="1:7">
      <c r="A8" s="1">
        <v>5</v>
      </c>
      <c r="B8" s="1">
        <v>4</v>
      </c>
      <c r="C8" s="7">
        <f t="shared" si="0"/>
        <v>0.77777777777777779</v>
      </c>
      <c r="D8" s="1">
        <v>0.66</v>
      </c>
      <c r="E8" s="1">
        <v>0.46</v>
      </c>
      <c r="F8" s="1">
        <f t="shared" si="1"/>
        <v>0.30360000000000004</v>
      </c>
      <c r="G8" s="7">
        <f t="shared" si="2"/>
        <v>2.0922059127558403E-3</v>
      </c>
    </row>
    <row r="9" spans="1:7">
      <c r="A9" s="1">
        <v>6</v>
      </c>
      <c r="B9" s="1">
        <v>5</v>
      </c>
      <c r="C9" s="7">
        <f t="shared" si="0"/>
        <v>0.72222222222222221</v>
      </c>
      <c r="D9" s="1">
        <v>0.57999999999999996</v>
      </c>
      <c r="E9" s="1">
        <v>0.51</v>
      </c>
      <c r="F9" s="1">
        <f t="shared" si="1"/>
        <v>0.29580000000000001</v>
      </c>
      <c r="G9" s="7">
        <f t="shared" si="2"/>
        <v>2.0384535869340499E-3</v>
      </c>
    </row>
    <row r="10" spans="1:7">
      <c r="A10" s="1">
        <v>7</v>
      </c>
      <c r="B10" s="1">
        <v>6</v>
      </c>
      <c r="C10" s="7">
        <f t="shared" si="0"/>
        <v>0.66666666666666674</v>
      </c>
      <c r="D10" s="1">
        <v>0.42</v>
      </c>
      <c r="E10" s="1">
        <v>0.33</v>
      </c>
      <c r="F10" s="1">
        <f t="shared" si="1"/>
        <v>0.1386</v>
      </c>
      <c r="G10" s="7">
        <f t="shared" si="2"/>
        <v>9.5513748191027492E-4</v>
      </c>
    </row>
    <row r="11" spans="1:7">
      <c r="A11" s="1">
        <v>8</v>
      </c>
      <c r="B11" s="1">
        <v>7</v>
      </c>
      <c r="C11" s="7">
        <f t="shared" si="0"/>
        <v>0.61111111111111116</v>
      </c>
      <c r="D11" s="1">
        <v>0.35</v>
      </c>
      <c r="E11" s="1">
        <v>0.28000000000000003</v>
      </c>
      <c r="F11" s="1">
        <f t="shared" si="1"/>
        <v>9.8000000000000004E-2</v>
      </c>
      <c r="G11" s="7">
        <f t="shared" si="2"/>
        <v>6.753497346840328E-4</v>
      </c>
    </row>
    <row r="12" spans="1:7">
      <c r="A12" s="1">
        <v>9</v>
      </c>
      <c r="B12" s="1">
        <v>8</v>
      </c>
      <c r="C12" s="7">
        <f t="shared" si="0"/>
        <v>0.55555555555555558</v>
      </c>
      <c r="D12" s="1">
        <v>0.33</v>
      </c>
      <c r="E12" s="1">
        <v>0.24</v>
      </c>
      <c r="F12" s="1">
        <f t="shared" si="1"/>
        <v>7.9200000000000007E-2</v>
      </c>
      <c r="G12" s="7">
        <f t="shared" si="2"/>
        <v>5.4579284680587143E-4</v>
      </c>
    </row>
    <row r="13" spans="1:7">
      <c r="A13" s="1">
        <v>10</v>
      </c>
      <c r="B13" s="1">
        <v>9</v>
      </c>
      <c r="C13" s="7">
        <f t="shared" si="0"/>
        <v>0.5</v>
      </c>
      <c r="D13" s="1">
        <v>0.25</v>
      </c>
      <c r="E13" s="1">
        <v>0.21</v>
      </c>
      <c r="F13" s="1">
        <f t="shared" si="1"/>
        <v>5.2499999999999998E-2</v>
      </c>
      <c r="G13" s="7">
        <f t="shared" si="2"/>
        <v>3.6179450072358897E-4</v>
      </c>
    </row>
    <row r="14" spans="1:7">
      <c r="E14" s="5" t="s">
        <v>10</v>
      </c>
      <c r="F14" s="6">
        <f>MAX(F4:F13)</f>
        <v>145.11000000000001</v>
      </c>
      <c r="G14" s="4"/>
    </row>
    <row r="18" spans="1:7">
      <c r="A18" s="9" t="s">
        <v>11</v>
      </c>
      <c r="B18" s="9"/>
      <c r="C18" s="9"/>
      <c r="D18" s="9" t="s">
        <v>2</v>
      </c>
      <c r="E18" s="9"/>
      <c r="F18" s="9"/>
      <c r="G18" s="9"/>
    </row>
    <row r="19" spans="1:7">
      <c r="A19" s="9" t="s">
        <v>1</v>
      </c>
      <c r="B19" s="9"/>
      <c r="C19" s="9"/>
      <c r="D19" s="9"/>
      <c r="E19" s="9"/>
      <c r="F19" s="9"/>
      <c r="G19" s="9"/>
    </row>
    <row r="20" spans="1:7" ht="30">
      <c r="A20" s="2" t="s">
        <v>3</v>
      </c>
      <c r="B20" s="2" t="s">
        <v>4</v>
      </c>
      <c r="C20" s="2" t="s">
        <v>5</v>
      </c>
      <c r="D20" s="1" t="s">
        <v>6</v>
      </c>
      <c r="E20" s="1" t="s">
        <v>7</v>
      </c>
      <c r="F20" s="1" t="s">
        <v>8</v>
      </c>
      <c r="G20" s="3" t="s">
        <v>9</v>
      </c>
    </row>
    <row r="21" spans="1:7">
      <c r="A21" s="1">
        <v>1</v>
      </c>
      <c r="B21" s="1">
        <v>0</v>
      </c>
      <c r="C21" s="7">
        <f>(1-B21/18)</f>
        <v>1</v>
      </c>
      <c r="D21" s="1">
        <v>14.8</v>
      </c>
      <c r="E21" s="1">
        <v>10.85</v>
      </c>
      <c r="F21" s="8">
        <f>D21*E21</f>
        <v>160.58000000000001</v>
      </c>
      <c r="G21" s="7">
        <f>F21/F$31</f>
        <v>1</v>
      </c>
    </row>
    <row r="22" spans="1:7">
      <c r="A22" s="1">
        <v>2</v>
      </c>
      <c r="B22" s="1">
        <v>1</v>
      </c>
      <c r="C22" s="7">
        <f t="shared" ref="C22:C30" si="3">(1-B22/18)</f>
        <v>0.94444444444444442</v>
      </c>
      <c r="D22" s="1">
        <v>7.12</v>
      </c>
      <c r="E22" s="1">
        <v>5.55</v>
      </c>
      <c r="F22" s="1">
        <f t="shared" ref="F22:F30" si="4">D22*E22</f>
        <v>39.515999999999998</v>
      </c>
      <c r="G22" s="7">
        <f t="shared" ref="G22:G30" si="5">F22/F$31</f>
        <v>0.24608294930875574</v>
      </c>
    </row>
    <row r="23" spans="1:7">
      <c r="A23" s="1">
        <v>3</v>
      </c>
      <c r="B23" s="1">
        <v>2</v>
      </c>
      <c r="C23" s="7">
        <f t="shared" si="3"/>
        <v>0.88888888888888884</v>
      </c>
      <c r="D23" s="1">
        <v>4.1100000000000003</v>
      </c>
      <c r="E23" s="1">
        <v>3.14</v>
      </c>
      <c r="F23" s="1">
        <f t="shared" si="4"/>
        <v>12.905400000000002</v>
      </c>
      <c r="G23" s="7">
        <f t="shared" si="5"/>
        <v>8.0367418109353606E-2</v>
      </c>
    </row>
    <row r="24" spans="1:7">
      <c r="A24" s="1">
        <v>4</v>
      </c>
      <c r="B24" s="1">
        <v>3</v>
      </c>
      <c r="C24" s="7">
        <f t="shared" si="3"/>
        <v>0.83333333333333337</v>
      </c>
      <c r="D24" s="1">
        <v>2.52</v>
      </c>
      <c r="E24" s="1">
        <v>1.78</v>
      </c>
      <c r="F24" s="1">
        <f t="shared" si="4"/>
        <v>4.4855999999999998</v>
      </c>
      <c r="G24" s="7">
        <f t="shared" si="5"/>
        <v>2.7933740191804706E-2</v>
      </c>
    </row>
    <row r="25" spans="1:7">
      <c r="A25" s="1">
        <v>5</v>
      </c>
      <c r="B25" s="1">
        <v>4</v>
      </c>
      <c r="C25" s="7">
        <f t="shared" si="3"/>
        <v>0.77777777777777779</v>
      </c>
      <c r="D25" s="1">
        <v>1.96</v>
      </c>
      <c r="E25" s="1">
        <v>1.53</v>
      </c>
      <c r="F25" s="1">
        <f t="shared" si="4"/>
        <v>2.9988000000000001</v>
      </c>
      <c r="G25" s="7">
        <f t="shared" si="5"/>
        <v>1.8674803836094159E-2</v>
      </c>
    </row>
    <row r="26" spans="1:7">
      <c r="A26" s="1">
        <v>6</v>
      </c>
      <c r="B26" s="1">
        <v>5</v>
      </c>
      <c r="C26" s="7">
        <f t="shared" si="3"/>
        <v>0.72222222222222221</v>
      </c>
      <c r="D26" s="1">
        <v>1.1000000000000001</v>
      </c>
      <c r="E26" s="1">
        <v>0.82</v>
      </c>
      <c r="F26" s="1">
        <f t="shared" si="4"/>
        <v>0.90200000000000002</v>
      </c>
      <c r="G26" s="7">
        <f t="shared" si="5"/>
        <v>5.6171378752023909E-3</v>
      </c>
    </row>
    <row r="27" spans="1:7">
      <c r="A27" s="1">
        <v>7</v>
      </c>
      <c r="B27" s="1">
        <v>6</v>
      </c>
      <c r="C27" s="7">
        <f t="shared" si="3"/>
        <v>0.66666666666666674</v>
      </c>
      <c r="D27" s="1">
        <v>0.89</v>
      </c>
      <c r="E27" s="1">
        <v>0.64</v>
      </c>
      <c r="F27" s="1">
        <f t="shared" si="4"/>
        <v>0.5696</v>
      </c>
      <c r="G27" s="7">
        <f t="shared" si="5"/>
        <v>3.5471416116577403E-3</v>
      </c>
    </row>
    <row r="28" spans="1:7">
      <c r="A28" s="1">
        <v>8</v>
      </c>
      <c r="B28" s="1">
        <v>7</v>
      </c>
      <c r="C28" s="7">
        <f t="shared" si="3"/>
        <v>0.61111111111111116</v>
      </c>
      <c r="D28" s="1">
        <v>0.86</v>
      </c>
      <c r="E28" s="1">
        <v>0.62</v>
      </c>
      <c r="F28" s="1">
        <f t="shared" si="4"/>
        <v>0.53320000000000001</v>
      </c>
      <c r="G28" s="7">
        <f t="shared" si="5"/>
        <v>3.3204633204633204E-3</v>
      </c>
    </row>
    <row r="29" spans="1:7">
      <c r="A29" s="1">
        <v>9</v>
      </c>
      <c r="B29" s="1">
        <v>8</v>
      </c>
      <c r="C29" s="7">
        <f t="shared" si="3"/>
        <v>0.55555555555555558</v>
      </c>
      <c r="D29" s="1">
        <v>0.82</v>
      </c>
      <c r="E29" s="1">
        <v>0.59</v>
      </c>
      <c r="F29" s="1">
        <f t="shared" si="4"/>
        <v>0.48379999999999995</v>
      </c>
      <c r="G29" s="7">
        <f t="shared" si="5"/>
        <v>3.0128284966994641E-3</v>
      </c>
    </row>
    <row r="30" spans="1:7">
      <c r="A30" s="1">
        <v>10</v>
      </c>
      <c r="B30" s="1">
        <v>9</v>
      </c>
      <c r="C30" s="7">
        <f t="shared" si="3"/>
        <v>0.5</v>
      </c>
      <c r="D30" s="1">
        <v>0.8</v>
      </c>
      <c r="E30" s="1">
        <v>0.55000000000000004</v>
      </c>
      <c r="F30" s="1">
        <f t="shared" si="4"/>
        <v>0.44000000000000006</v>
      </c>
      <c r="G30" s="7">
        <f t="shared" si="5"/>
        <v>2.7400672561962887E-3</v>
      </c>
    </row>
    <row r="31" spans="1:7">
      <c r="E31" s="5" t="s">
        <v>10</v>
      </c>
      <c r="F31" s="6">
        <f>MAX(F21:F30)</f>
        <v>160.58000000000001</v>
      </c>
      <c r="G31" s="4"/>
    </row>
  </sheetData>
  <mergeCells count="8">
    <mergeCell ref="A18:C18"/>
    <mergeCell ref="D18:G18"/>
    <mergeCell ref="A19:C19"/>
    <mergeCell ref="D19:G19"/>
    <mergeCell ref="A1:C1"/>
    <mergeCell ref="A2:C2"/>
    <mergeCell ref="D1:G1"/>
    <mergeCell ref="D2:G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2025-12-20T20:47:31Z</dcterms:created>
  <dcterms:modified xsi:type="dcterms:W3CDTF">2025-12-20T23:17:39Z</dcterms:modified>
</cp:coreProperties>
</file>